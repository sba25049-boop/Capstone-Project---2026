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maria\Documents\GitHub\Capstone-Project---2026\"/>
    </mc:Choice>
  </mc:AlternateContent>
  <xr:revisionPtr revIDLastSave="0" documentId="8_{BCAA0976-A25A-458E-8E0D-FDD8A5D3766A}" xr6:coauthVersionLast="47" xr6:coauthVersionMax="47" xr10:uidLastSave="{00000000-0000-0000-0000-000000000000}"/>
  <bookViews>
    <workbookView xWindow="28680" yWindow="-120" windowWidth="29040" windowHeight="15720" xr2:uid="{00000000-000D-0000-FFFF-FFFF00000000}"/>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1" l="1"/>
  <c r="C9" i="11" l="1"/>
  <c r="C18" i="11" l="1"/>
  <c r="C24" i="11" s="1"/>
  <c r="D9" i="11"/>
  <c r="C10" i="11" s="1"/>
  <c r="D10" i="11" s="1"/>
  <c r="G5" i="11"/>
  <c r="F30" i="11"/>
  <c r="F29" i="11"/>
  <c r="F23" i="11"/>
  <c r="F17" i="11"/>
  <c r="F13" i="11"/>
  <c r="F8" i="11"/>
  <c r="D18" i="11" l="1"/>
  <c r="C19" i="11" s="1"/>
  <c r="C20" i="11" s="1"/>
  <c r="D20" i="11" s="1"/>
  <c r="F18" i="11"/>
  <c r="D24" i="11"/>
  <c r="C25" i="11" s="1"/>
  <c r="C27" i="11"/>
  <c r="C28" i="11"/>
  <c r="F9" i="11"/>
  <c r="C22" i="11"/>
  <c r="C11" i="11"/>
  <c r="D11" i="11" s="1"/>
  <c r="G6" i="11"/>
  <c r="D19" i="11" l="1"/>
  <c r="F19" i="11" s="1"/>
  <c r="D28" i="11"/>
  <c r="F28" i="11" s="1"/>
  <c r="D25" i="11"/>
  <c r="C26" i="11" s="1"/>
  <c r="D27" i="11"/>
  <c r="F27" i="11" s="1"/>
  <c r="F24" i="11"/>
  <c r="D22" i="11"/>
  <c r="F22" i="11" s="1"/>
  <c r="F10" i="11"/>
  <c r="C21" i="11"/>
  <c r="F20" i="11"/>
  <c r="C12" i="11"/>
  <c r="D12" i="11" s="1"/>
  <c r="C14" i="11" s="1"/>
  <c r="D14" i="11" s="1"/>
  <c r="C15" i="11" s="1"/>
  <c r="D15" i="11" s="1"/>
  <c r="C16" i="11" s="1"/>
  <c r="D16" i="11" s="1"/>
  <c r="H5" i="11"/>
  <c r="I5" i="11" s="1"/>
  <c r="J5" i="11" s="1"/>
  <c r="K5" i="11" s="1"/>
  <c r="L5" i="11" s="1"/>
  <c r="M5" i="11" s="1"/>
  <c r="N5" i="11" s="1"/>
  <c r="G4" i="11"/>
  <c r="F14" i="11" l="1"/>
  <c r="F25" i="11"/>
  <c r="D26" i="11"/>
  <c r="F26" i="11" s="1"/>
  <c r="D21" i="11"/>
  <c r="F21" i="11" s="1"/>
  <c r="F15" i="11"/>
  <c r="F11" i="11"/>
  <c r="F12" i="11"/>
  <c r="N4" i="11"/>
  <c r="O5" i="11"/>
  <c r="P5" i="11" s="1"/>
  <c r="Q5" i="11" s="1"/>
  <c r="R5" i="11" s="1"/>
  <c r="S5" i="11" s="1"/>
  <c r="T5" i="11" s="1"/>
  <c r="U5" i="11" s="1"/>
  <c r="H6" i="11"/>
  <c r="U4" i="11" l="1"/>
  <c r="V5" i="11"/>
  <c r="W5" i="11" s="1"/>
  <c r="X5" i="11" s="1"/>
  <c r="Y5" i="11" s="1"/>
  <c r="Z5" i="11" s="1"/>
  <c r="AA5" i="11" s="1"/>
  <c r="AB5" i="11" s="1"/>
  <c r="I6" i="11"/>
  <c r="F16" i="11" l="1"/>
  <c r="AC5" i="11"/>
  <c r="AD5" i="11" s="1"/>
  <c r="AE5" i="11" s="1"/>
  <c r="AF5" i="11" s="1"/>
  <c r="AG5" i="11" s="1"/>
  <c r="AH5" i="11" s="1"/>
  <c r="AB4" i="11"/>
  <c r="J6" i="11"/>
  <c r="AI5" i="11" l="1"/>
  <c r="AJ5" i="11" s="1"/>
  <c r="AK5" i="11" s="1"/>
  <c r="AL5" i="11" s="1"/>
  <c r="AM5" i="11" s="1"/>
  <c r="AN5" i="11" s="1"/>
  <c r="AO5" i="11" s="1"/>
  <c r="K6" i="11"/>
  <c r="AP5" i="11" l="1"/>
  <c r="AQ5" i="11" s="1"/>
  <c r="AI4" i="11"/>
  <c r="L6" i="11"/>
  <c r="AR5" i="11" l="1"/>
  <c r="AQ6" i="11"/>
  <c r="AP4" i="11"/>
  <c r="M6" i="11"/>
  <c r="AS5" i="11" l="1"/>
  <c r="AR6" i="11"/>
  <c r="AT5" i="11" l="1"/>
  <c r="AS6" i="11"/>
  <c r="N6" i="11"/>
  <c r="O6" i="11"/>
  <c r="AU5" i="11" l="1"/>
  <c r="AT6" i="11"/>
  <c r="P6" i="11"/>
  <c r="AV5" i="11" l="1"/>
  <c r="AW5" i="11" s="1"/>
  <c r="AU6" i="11"/>
  <c r="Q6" i="11"/>
  <c r="AW6" i="11" l="1"/>
  <c r="AX5" i="11"/>
  <c r="AW4" i="11"/>
  <c r="AV6" i="11"/>
  <c r="R6" i="11"/>
  <c r="AY5" i="11" l="1"/>
  <c r="AX6" i="11"/>
  <c r="S6" i="11"/>
  <c r="AY6" i="11" l="1"/>
  <c r="AZ5" i="11"/>
  <c r="T6" i="11"/>
  <c r="AZ6" i="11" l="1"/>
  <c r="BA5" i="11"/>
  <c r="U6" i="11"/>
  <c r="BA6" i="11" l="1"/>
  <c r="BB5" i="11"/>
  <c r="V6" i="11"/>
  <c r="BC5" i="11" l="1"/>
  <c r="BB6" i="11"/>
  <c r="W6" i="11"/>
  <c r="BC6" i="11" l="1"/>
  <c r="BD5" i="11"/>
  <c r="X6" i="11"/>
  <c r="BD6" i="11" l="1"/>
  <c r="BE5" i="11"/>
  <c r="BD4" i="11"/>
  <c r="Y6" i="11"/>
  <c r="BE6" i="11" l="1"/>
  <c r="BF5" i="11"/>
  <c r="Z6" i="11"/>
  <c r="BG5" i="11" l="1"/>
  <c r="BF6" i="11"/>
  <c r="AA6" i="11"/>
  <c r="BH5" i="11" l="1"/>
  <c r="BG6" i="11"/>
  <c r="AB6" i="11"/>
  <c r="BI5" i="11" l="1"/>
  <c r="BH6" i="11"/>
  <c r="AC6" i="11"/>
  <c r="BJ5" i="11" l="1"/>
  <c r="BI6" i="11"/>
  <c r="AD6" i="11"/>
  <c r="BJ6" i="11" l="1"/>
  <c r="AE6" i="1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<sst xmlns="http://schemas.openxmlformats.org/spreadsheetml/2006/main" count="43" uniqueCount="42">
  <si>
    <t>Insert new rows ABOVE this one</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</si>
  <si>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</si>
  <si>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</si>
  <si>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</si>
  <si>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</si>
  <si>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</si>
  <si>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</si>
  <si>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</si>
  <si>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</si>
  <si>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</si>
  <si>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</si>
  <si>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</si>
  <si>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</si>
  <si>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</si>
  <si>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</si>
  <si>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</si>
  <si>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</si>
  <si>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</si>
  <si>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</si>
  <si>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</si>
  <si>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Planning and design</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</si>
  <si>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</si>
  <si>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</si>
  <si>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</si>
  <si>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</si>
  <si>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</si>
  <si>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</si>
  <si>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</si>
  <si>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</si>
  <si>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</si>
  <si>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</si>
  <si>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</si>
  <si>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</si>
  <si>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Evaluation</t>
  </si>
  <si>
    <t>Capstone Project</t>
  </si>
  <si>
    <t>Define business problem and objectives</t>
  </si>
  <si>
    <t>Dataset selection and validation</t>
  </si>
  <si>
    <t>Business Problem  &amp; literature review</t>
  </si>
  <si>
    <t>Define Methodology, Scope</t>
  </si>
  <si>
    <t>Dataset exploration and analysis</t>
  </si>
  <si>
    <t>Data cleaning and preparation</t>
  </si>
  <si>
    <t>Feature selection and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</si>
</sst>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m/d/yy;@"/>
    <numFmt numFmtId="166" formatCode="ddd\,\ m/d/yyyy"/>
    <numFmt numFmtId="175" formatCode="dd/mm/yy;@"/>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8"/>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2">
    <xf numFmtId="0" fontId="0" fillId="0" borderId="0" xfId="0"/>
    <xf numFmtId="0" fontId="1" fillId="0" borderId="0" xfId="0" applyFont="1"/>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75" fontId="11" fillId="0" borderId="0" xfId="2" applyNumberFormat="1" applyAlignment="1">
      <alignment wrapText="1"/>
    </xf>
    <xf numFmtId="175" fontId="28" fillId="0" borderId="0" xfId="4" applyNumberFormat="1" applyFont="1" applyAlignment="1">
      <alignment horizontal="left"/>
    </xf>
    <xf numFmtId="175" fontId="12" fillId="0" borderId="0" xfId="0" applyNumberFormat="1" applyFont="1" applyAlignment="1">
      <alignment horizontal="center"/>
    </xf>
    <xf numFmtId="175" fontId="12" fillId="0" borderId="0" xfId="0" applyNumberFormat="1" applyFont="1" applyAlignment="1">
      <alignment horizontal="center" vertical="center"/>
    </xf>
    <xf numFmtId="175" fontId="0" fillId="0" borderId="0" xfId="0" applyNumberFormat="1"/>
    <xf numFmtId="175" fontId="1" fillId="0" borderId="0" xfId="0" applyNumberFormat="1" applyFont="1"/>
    <xf numFmtId="175" fontId="23" fillId="0" borderId="0" xfId="7" applyNumberFormat="1" applyFont="1" applyAlignment="1">
      <alignment horizontal="left"/>
    </xf>
    <xf numFmtId="175" fontId="4" fillId="0" borderId="0" xfId="0" applyNumberFormat="1" applyFont="1"/>
    <xf numFmtId="175" fontId="14" fillId="0" borderId="0" xfId="0" applyNumberFormat="1" applyFont="1"/>
    <xf numFmtId="175" fontId="24" fillId="0" borderId="0" xfId="8" applyNumberFormat="1" applyFont="1" applyBorder="1" applyAlignment="1">
      <alignment horizontal="left"/>
    </xf>
    <xf numFmtId="175" fontId="25" fillId="0" borderId="0" xfId="0" applyNumberFormat="1" applyFont="1"/>
    <xf numFmtId="175" fontId="11" fillId="0" borderId="0" xfId="2" applyNumberFormat="1"/>
    <xf numFmtId="175" fontId="23" fillId="0" borderId="0" xfId="5" applyNumberFormat="1" applyFont="1" applyAlignment="1">
      <alignment horizontal="left" vertical="center" indent="1"/>
    </xf>
    <xf numFmtId="175" fontId="13" fillId="0" borderId="0" xfId="0" applyNumberFormat="1" applyFont="1"/>
    <xf numFmtId="175" fontId="13" fillId="0" borderId="0" xfId="0" applyNumberFormat="1" applyFont="1" applyAlignment="1">
      <alignment horizontal="center"/>
    </xf>
    <xf numFmtId="175" fontId="24" fillId="0" borderId="0" xfId="0" applyNumberFormat="1" applyFont="1" applyAlignment="1">
      <alignment horizontal="left"/>
    </xf>
    <xf numFmtId="175" fontId="15" fillId="0" borderId="0" xfId="0" applyNumberFormat="1" applyFont="1" applyAlignment="1">
      <alignment horizontal="left" indent="1"/>
    </xf>
    <xf numFmtId="175" fontId="4" fillId="0" borderId="0" xfId="0" applyNumberFormat="1" applyFont="1" applyAlignment="1">
      <alignment horizontal="center"/>
    </xf>
    <xf numFmtId="175" fontId="4" fillId="0" borderId="0" xfId="0" applyNumberFormat="1" applyFont="1"/>
    <xf numFmtId="175" fontId="1" fillId="0" borderId="0" xfId="1" applyNumberFormat="1" applyFont="1" applyAlignment="1" applyProtection="1">
      <alignment horizontal="left" vertical="top" indent="1"/>
    </xf>
    <xf numFmtId="175" fontId="4" fillId="0" borderId="0" xfId="0" applyNumberFormat="1" applyFont="1" applyAlignment="1">
      <alignment horizontal="left" indent="1"/>
    </xf>
    <xf numFmtId="175" fontId="16" fillId="2" borderId="18" xfId="0" applyNumberFormat="1" applyFont="1" applyFill="1" applyBorder="1" applyAlignment="1">
      <alignment horizontal="center" vertical="center" wrapText="1"/>
    </xf>
    <xf numFmtId="175" fontId="16" fillId="2" borderId="13" xfId="0" applyNumberFormat="1" applyFont="1" applyFill="1" applyBorder="1" applyAlignment="1">
      <alignment horizontal="center" vertical="center" wrapText="1"/>
    </xf>
    <xf numFmtId="175" fontId="16" fillId="2" borderId="19" xfId="0" applyNumberFormat="1" applyFont="1" applyFill="1" applyBorder="1" applyAlignment="1">
      <alignment horizontal="center" vertical="center" wrapText="1"/>
    </xf>
    <xf numFmtId="175" fontId="11" fillId="0" borderId="0" xfId="2" applyNumberFormat="1" applyAlignment="1">
      <alignment wrapText="1"/>
    </xf>
    <xf numFmtId="175" fontId="17" fillId="11" borderId="16" xfId="0" applyNumberFormat="1" applyFont="1" applyFill="1" applyBorder="1" applyAlignment="1">
      <alignment horizontal="left" vertical="center" indent="1"/>
    </xf>
    <xf numFmtId="175" fontId="17" fillId="11" borderId="16" xfId="0" applyNumberFormat="1" applyFont="1" applyFill="1" applyBorder="1" applyAlignment="1">
      <alignment horizontal="center" vertical="center"/>
    </xf>
    <xf numFmtId="175" fontId="18" fillId="12" borderId="20" xfId="0" applyNumberFormat="1" applyFont="1" applyFill="1" applyBorder="1" applyAlignment="1">
      <alignment horizontal="center" vertical="center"/>
    </xf>
    <xf numFmtId="175" fontId="18" fillId="12" borderId="18" xfId="0" applyNumberFormat="1" applyFont="1" applyFill="1" applyBorder="1" applyAlignment="1">
      <alignment horizontal="center" vertical="center"/>
    </xf>
    <xf numFmtId="175" fontId="18" fillId="12" borderId="19" xfId="0" applyNumberFormat="1" applyFont="1" applyFill="1" applyBorder="1" applyAlignment="1">
      <alignment horizontal="center" vertical="center"/>
    </xf>
    <xf numFmtId="175" fontId="4" fillId="2" borderId="21" xfId="0" applyNumberFormat="1" applyFont="1" applyFill="1" applyBorder="1" applyAlignment="1">
      <alignment horizontal="left" indent="1"/>
    </xf>
    <xf numFmtId="175" fontId="4" fillId="2" borderId="21" xfId="0" applyNumberFormat="1" applyFont="1" applyFill="1" applyBorder="1"/>
    <xf numFmtId="175" fontId="19" fillId="2" borderId="17" xfId="0" applyNumberFormat="1" applyFont="1" applyFill="1" applyBorder="1" applyAlignment="1">
      <alignment horizontal="center" vertical="center" shrinkToFit="1"/>
    </xf>
    <xf numFmtId="175" fontId="19" fillId="2" borderId="14" xfId="0" applyNumberFormat="1" applyFont="1" applyFill="1" applyBorder="1" applyAlignment="1">
      <alignment horizontal="center" vertical="center" shrinkToFit="1"/>
    </xf>
    <xf numFmtId="175" fontId="19" fillId="2" borderId="15" xfId="0" applyNumberFormat="1" applyFont="1" applyFill="1" applyBorder="1" applyAlignment="1">
      <alignment horizontal="center" vertical="center" shrinkToFit="1"/>
    </xf>
    <xf numFmtId="175" fontId="16" fillId="0" borderId="0" xfId="0" applyNumberFormat="1" applyFont="1"/>
    <xf numFmtId="175" fontId="4" fillId="0" borderId="3" xfId="0" applyNumberFormat="1" applyFont="1" applyBorder="1" applyAlignment="1">
      <alignment vertical="center"/>
    </xf>
    <xf numFmtId="175" fontId="20" fillId="6" borderId="0" xfId="0" applyNumberFormat="1" applyFont="1" applyFill="1" applyAlignment="1">
      <alignment horizontal="left" vertical="center" indent="1"/>
    </xf>
    <xf numFmtId="175" fontId="16" fillId="6" borderId="0" xfId="0" applyNumberFormat="1" applyFont="1" applyFill="1" applyAlignment="1">
      <alignment horizontal="center" vertical="center"/>
    </xf>
    <xf numFmtId="175" fontId="1" fillId="6" borderId="0" xfId="0" applyNumberFormat="1" applyFont="1" applyFill="1" applyAlignment="1">
      <alignment horizontal="center" vertical="center"/>
    </xf>
    <xf numFmtId="175" fontId="3" fillId="0" borderId="0" xfId="0" applyNumberFormat="1" applyFont="1" applyAlignment="1">
      <alignment horizontal="center" vertical="center"/>
    </xf>
    <xf numFmtId="175" fontId="3" fillId="0" borderId="1" xfId="0" applyNumberFormat="1" applyFont="1" applyBorder="1" applyAlignment="1">
      <alignment horizontal="center" vertical="center"/>
    </xf>
    <xf numFmtId="175" fontId="4" fillId="0" borderId="12" xfId="0" applyNumberFormat="1" applyFont="1" applyBorder="1" applyAlignment="1">
      <alignment vertical="center"/>
    </xf>
    <xf numFmtId="175" fontId="4" fillId="0" borderId="0" xfId="0" applyNumberFormat="1" applyFont="1" applyAlignment="1">
      <alignment vertical="center"/>
    </xf>
    <xf numFmtId="175" fontId="16" fillId="3" borderId="6" xfId="11" applyNumberFormat="1" applyFont="1" applyFill="1" applyBorder="1">
      <alignment horizontal="left" vertical="center" indent="2"/>
    </xf>
    <xf numFmtId="175" fontId="16" fillId="3" borderId="6" xfId="9" applyNumberFormat="1" applyFont="1" applyFill="1" applyBorder="1">
      <alignment horizontal="center" vertical="center"/>
    </xf>
    <xf numFmtId="175" fontId="4" fillId="0" borderId="4" xfId="0" applyNumberFormat="1" applyFont="1" applyBorder="1" applyAlignment="1">
      <alignment vertical="center"/>
    </xf>
    <xf numFmtId="175" fontId="16" fillId="3" borderId="7" xfId="11" applyNumberFormat="1" applyFont="1" applyFill="1" applyBorder="1">
      <alignment horizontal="left" vertical="center" indent="2"/>
    </xf>
    <xf numFmtId="175" fontId="16" fillId="3" borderId="7" xfId="9" applyNumberFormat="1" applyFont="1" applyFill="1" applyBorder="1">
      <alignment horizontal="center" vertical="center"/>
    </xf>
    <xf numFmtId="175" fontId="4" fillId="0" borderId="4" xfId="0" applyNumberFormat="1" applyFont="1" applyBorder="1" applyAlignment="1">
      <alignment horizontal="right" vertical="center"/>
    </xf>
    <xf numFmtId="175" fontId="20" fillId="7" borderId="0" xfId="0" applyNumberFormat="1" applyFont="1" applyFill="1" applyAlignment="1">
      <alignment horizontal="left" vertical="center" indent="1"/>
    </xf>
    <xf numFmtId="175" fontId="16" fillId="7" borderId="0" xfId="0" applyNumberFormat="1" applyFont="1" applyFill="1" applyAlignment="1">
      <alignment horizontal="center" vertical="center"/>
    </xf>
    <xf numFmtId="175" fontId="1" fillId="7" borderId="0" xfId="0" applyNumberFormat="1" applyFont="1" applyFill="1" applyAlignment="1">
      <alignment horizontal="center" vertical="center"/>
    </xf>
    <xf numFmtId="175" fontId="16" fillId="4" borderId="5" xfId="11" applyNumberFormat="1" applyFont="1" applyFill="1" applyBorder="1">
      <alignment horizontal="left" vertical="center" indent="2"/>
    </xf>
    <xf numFmtId="175" fontId="16" fillId="4" borderId="5" xfId="9" applyNumberFormat="1" applyFont="1" applyFill="1" applyBorder="1">
      <alignment horizontal="center" vertical="center"/>
    </xf>
    <xf numFmtId="175" fontId="20" fillId="8" borderId="0" xfId="0" applyNumberFormat="1" applyFont="1" applyFill="1" applyAlignment="1">
      <alignment horizontal="left" vertical="center" indent="1"/>
    </xf>
    <xf numFmtId="175" fontId="16" fillId="8" borderId="0" xfId="0" applyNumberFormat="1" applyFont="1" applyFill="1" applyAlignment="1">
      <alignment horizontal="center" vertical="center"/>
    </xf>
    <xf numFmtId="175" fontId="1" fillId="8" borderId="0" xfId="0" applyNumberFormat="1" applyFont="1" applyFill="1" applyAlignment="1">
      <alignment horizontal="center" vertical="center"/>
    </xf>
    <xf numFmtId="175" fontId="4" fillId="0" borderId="11" xfId="0" applyNumberFormat="1" applyFont="1" applyBorder="1" applyAlignment="1">
      <alignment vertical="center"/>
    </xf>
    <xf numFmtId="175" fontId="16" fillId="5" borderId="8" xfId="11" applyNumberFormat="1" applyFont="1" applyFill="1" applyBorder="1">
      <alignment horizontal="left" vertical="center" indent="2"/>
    </xf>
    <xf numFmtId="175" fontId="16" fillId="5" borderId="8" xfId="9" applyNumberFormat="1" applyFont="1" applyFill="1" applyBorder="1">
      <alignment horizontal="center" vertical="center"/>
    </xf>
    <xf numFmtId="175" fontId="20" fillId="9" borderId="0" xfId="0" applyNumberFormat="1" applyFont="1" applyFill="1" applyAlignment="1">
      <alignment horizontal="left" vertical="center" indent="1"/>
    </xf>
    <xf numFmtId="175" fontId="16" fillId="9" borderId="0" xfId="0" applyNumberFormat="1" applyFont="1" applyFill="1" applyAlignment="1">
      <alignment horizontal="center" vertical="center"/>
    </xf>
    <xf numFmtId="175" fontId="1" fillId="9" borderId="0" xfId="0" applyNumberFormat="1" applyFont="1" applyFill="1" applyAlignment="1">
      <alignment horizontal="center" vertical="center"/>
    </xf>
    <xf numFmtId="175" fontId="4" fillId="0" borderId="10" xfId="0" applyNumberFormat="1" applyFont="1" applyBorder="1" applyAlignment="1">
      <alignment vertical="center"/>
    </xf>
    <xf numFmtId="175" fontId="16" fillId="10" borderId="9" xfId="11" applyNumberFormat="1" applyFont="1" applyFill="1" applyBorder="1">
      <alignment horizontal="left" vertical="center" indent="2"/>
    </xf>
    <xf numFmtId="175" fontId="16" fillId="10" borderId="9" xfId="9" applyNumberFormat="1" applyFont="1" applyFill="1" applyBorder="1">
      <alignment horizontal="center" vertical="center"/>
    </xf>
    <xf numFmtId="175" fontId="16" fillId="0" borderId="0" xfId="11" applyNumberFormat="1" applyFont="1" applyBorder="1">
      <alignment horizontal="left" vertical="center" indent="2"/>
    </xf>
    <xf numFmtId="175" fontId="16" fillId="0" borderId="0" xfId="9" applyNumberFormat="1" applyFont="1" applyBorder="1">
      <alignment horizontal="center" vertical="center"/>
    </xf>
    <xf numFmtId="175" fontId="21" fillId="2" borderId="0" xfId="0" applyNumberFormat="1" applyFont="1" applyFill="1" applyAlignment="1">
      <alignment horizontal="left" vertical="center" indent="1"/>
    </xf>
    <xf numFmtId="175" fontId="22" fillId="2" borderId="0" xfId="0" applyNumberFormat="1" applyFont="1" applyFill="1" applyAlignment="1">
      <alignment horizontal="left" vertical="center"/>
    </xf>
    <xf numFmtId="175" fontId="1" fillId="2" borderId="0" xfId="0" applyNumberFormat="1" applyFont="1" applyFill="1" applyAlignment="1">
      <alignment horizontal="center" vertical="center"/>
    </xf>
    <xf numFmtId="175" fontId="3" fillId="2" borderId="1" xfId="0" applyNumberFormat="1" applyFont="1" applyFill="1" applyBorder="1" applyAlignment="1">
      <alignment horizontal="center" vertical="center"/>
    </xf>
    <xf numFmtId="175" fontId="4" fillId="2" borderId="0" xfId="0" applyNumberFormat="1" applyFont="1" applyFill="1" applyAlignment="1">
      <alignment vertical="center"/>
    </xf>
    <xf numFmtId="175" fontId="0" fillId="0" borderId="0" xfId="0" applyNumberFormat="1" applyAlignment="1">
      <alignment horizontal="center"/>
    </xf>
    <xf numFmtId="175" fontId="0" fillId="0" borderId="0" xfId="0" applyNumberFormat="1" applyAlignment="1">
      <alignment horizontal="right" vertical="center"/>
    </xf>
    <xf numFmtId="175" fontId="11" fillId="0" borderId="0" xfId="0" applyNumberFormat="1" applyFont="1" applyAlignment="1">
      <alignment horizontal="center"/>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32"/>
  <sheetViews>
    <sheetView showGridLines="0" tabSelected="1" showRuler="0" zoomScale="60" zoomScaleNormal="60" zoomScalePageLayoutView="70" workbookViewId="0">
      <selection activeCell="AN17" sqref="AN17"/>
    </sheetView>
  </sheetViews>
  <sheetFormatPr defaultColWidth="8.6640625" defaultRowHeight="30" customHeight="1" x14ac:dyDescent="0.3"/>
  <cols>
    <col min="1" max="1" width="2.6640625" style="26" customWidth="1"/>
    <col min="2" max="2" width="40.58203125" style="19" customWidth="1"/>
    <col min="3" max="3" width="10.6640625" style="89" customWidth="1"/>
    <col min="4" max="4" width="10.6640625" style="19" customWidth="1"/>
    <col min="5" max="5" width="2.6640625" style="19" customWidth="1"/>
    <col min="6" max="6" width="6" style="19" hidden="1" customWidth="1"/>
    <col min="7" max="63" width="2.6640625" style="19" customWidth="1"/>
    <col min="64" max="16384" width="8.6640625" style="19"/>
  </cols>
  <sheetData>
    <row r="1" spans="1:62" ht="90" customHeight="1" x14ac:dyDescent="1.2">
      <c r="A1" s="15"/>
      <c r="B1" s="16" t="s">
        <v>34</v>
      </c>
      <c r="C1" s="17"/>
      <c r="D1" s="18"/>
      <c r="F1" s="20"/>
      <c r="G1" s="21" t="s">
        <v>31</v>
      </c>
      <c r="H1" s="22"/>
      <c r="I1" s="22"/>
      <c r="J1" s="22"/>
      <c r="K1" s="22"/>
      <c r="L1" s="22"/>
      <c r="M1" s="22"/>
      <c r="N1" s="23"/>
      <c r="O1" s="24">
        <v>46293</v>
      </c>
      <c r="P1" s="25"/>
      <c r="Q1" s="25"/>
      <c r="R1" s="25"/>
      <c r="S1" s="25"/>
      <c r="T1" s="25"/>
      <c r="U1" s="25"/>
      <c r="V1" s="25"/>
      <c r="W1" s="25"/>
      <c r="X1" s="25"/>
    </row>
    <row r="2" spans="1:62" ht="30" customHeight="1" x14ac:dyDescent="0.7">
      <c r="B2" s="27"/>
      <c r="C2" s="29"/>
      <c r="D2" s="28"/>
      <c r="G2" s="21" t="s">
        <v>32</v>
      </c>
      <c r="H2" s="22"/>
      <c r="I2" s="22"/>
      <c r="J2" s="22"/>
      <c r="K2" s="22"/>
      <c r="L2" s="22"/>
      <c r="M2" s="22"/>
      <c r="N2" s="23"/>
      <c r="O2" s="30">
        <v>1</v>
      </c>
      <c r="P2" s="25"/>
      <c r="Q2" s="25"/>
      <c r="R2" s="25"/>
      <c r="S2" s="25"/>
      <c r="T2" s="25"/>
      <c r="U2" s="25"/>
      <c r="V2" s="25"/>
      <c r="W2" s="25"/>
      <c r="X2" s="25"/>
    </row>
    <row r="3" spans="1:62" s="33" customFormat="1" ht="30" customHeight="1" x14ac:dyDescent="0.3">
      <c r="A3" s="26"/>
      <c r="B3" s="31"/>
      <c r="C3" s="32"/>
    </row>
    <row r="4" spans="1:62" s="33" customFormat="1" ht="30" customHeight="1" x14ac:dyDescent="0.3">
      <c r="A4" s="15"/>
      <c r="B4" s="34"/>
      <c r="C4" s="35"/>
      <c r="G4" s="36">
        <f>G5</f>
        <v>46293</v>
      </c>
      <c r="H4" s="37"/>
      <c r="I4" s="37"/>
      <c r="J4" s="37"/>
      <c r="K4" s="37"/>
      <c r="L4" s="37"/>
      <c r="M4" s="37"/>
      <c r="N4" s="37">
        <f>N5</f>
        <v>46300</v>
      </c>
      <c r="O4" s="37"/>
      <c r="P4" s="37"/>
      <c r="Q4" s="37"/>
      <c r="R4" s="37"/>
      <c r="S4" s="37"/>
      <c r="T4" s="37"/>
      <c r="U4" s="37">
        <f>U5</f>
        <v>46307</v>
      </c>
      <c r="V4" s="37"/>
      <c r="W4" s="37"/>
      <c r="X4" s="37"/>
      <c r="Y4" s="37"/>
      <c r="Z4" s="37"/>
      <c r="AA4" s="37"/>
      <c r="AB4" s="37">
        <f>AB5</f>
        <v>46314</v>
      </c>
      <c r="AC4" s="37"/>
      <c r="AD4" s="37"/>
      <c r="AE4" s="37"/>
      <c r="AF4" s="37"/>
      <c r="AG4" s="37"/>
      <c r="AH4" s="37"/>
      <c r="AI4" s="37">
        <f>AI5</f>
        <v>46321</v>
      </c>
      <c r="AJ4" s="37"/>
      <c r="AK4" s="37"/>
      <c r="AL4" s="37"/>
      <c r="AM4" s="37"/>
      <c r="AN4" s="37"/>
      <c r="AO4" s="37"/>
      <c r="AP4" s="37">
        <f>AP5</f>
        <v>46328</v>
      </c>
      <c r="AQ4" s="37"/>
      <c r="AR4" s="37"/>
      <c r="AS4" s="37"/>
      <c r="AT4" s="37"/>
      <c r="AU4" s="37"/>
      <c r="AV4" s="37"/>
      <c r="AW4" s="37">
        <f>AW5</f>
        <v>46335</v>
      </c>
      <c r="AX4" s="37"/>
      <c r="AY4" s="37"/>
      <c r="AZ4" s="37"/>
      <c r="BA4" s="37"/>
      <c r="BB4" s="37"/>
      <c r="BC4" s="37"/>
      <c r="BD4" s="37">
        <f>BD5</f>
        <v>46342</v>
      </c>
      <c r="BE4" s="37"/>
      <c r="BF4" s="37"/>
      <c r="BG4" s="37"/>
      <c r="BH4" s="37"/>
      <c r="BI4" s="37"/>
      <c r="BJ4" s="38"/>
    </row>
    <row r="5" spans="1:62" s="33" customFormat="1" ht="15" customHeight="1" x14ac:dyDescent="0.3">
      <c r="A5" s="39"/>
      <c r="B5" s="40" t="s">
        <v>4</v>
      </c>
      <c r="C5" s="41" t="s">
        <v>2</v>
      </c>
      <c r="D5" s="41" t="s">
        <v>3</v>
      </c>
      <c r="G5" s="42">
        <f>Project_Start-WEEKDAY(Project_Start,1)+2+7*(Display_Week-1)</f>
        <v>46293</v>
      </c>
      <c r="H5" s="42">
        <f>G5+1</f>
        <v>46294</v>
      </c>
      <c r="I5" s="42">
        <f t="shared" ref="I5:AV5" si="0">H5+1</f>
        <v>46295</v>
      </c>
      <c r="J5" s="42">
        <f t="shared" si="0"/>
        <v>46296</v>
      </c>
      <c r="K5" s="42">
        <f t="shared" si="0"/>
        <v>46297</v>
      </c>
      <c r="L5" s="42">
        <f t="shared" si="0"/>
        <v>46298</v>
      </c>
      <c r="M5" s="43">
        <f t="shared" si="0"/>
        <v>46299</v>
      </c>
      <c r="N5" s="44">
        <f>M5+1</f>
        <v>46300</v>
      </c>
      <c r="O5" s="42">
        <f>N5+1</f>
        <v>46301</v>
      </c>
      <c r="P5" s="42">
        <f t="shared" si="0"/>
        <v>46302</v>
      </c>
      <c r="Q5" s="42">
        <f t="shared" si="0"/>
        <v>46303</v>
      </c>
      <c r="R5" s="42">
        <f t="shared" si="0"/>
        <v>46304</v>
      </c>
      <c r="S5" s="42">
        <f t="shared" si="0"/>
        <v>46305</v>
      </c>
      <c r="T5" s="43">
        <f t="shared" si="0"/>
        <v>46306</v>
      </c>
      <c r="U5" s="44">
        <f>T5+1</f>
        <v>46307</v>
      </c>
      <c r="V5" s="42">
        <f>U5+1</f>
        <v>46308</v>
      </c>
      <c r="W5" s="42">
        <f t="shared" si="0"/>
        <v>46309</v>
      </c>
      <c r="X5" s="42">
        <f t="shared" si="0"/>
        <v>46310</v>
      </c>
      <c r="Y5" s="42">
        <f t="shared" si="0"/>
        <v>46311</v>
      </c>
      <c r="Z5" s="42">
        <f t="shared" si="0"/>
        <v>46312</v>
      </c>
      <c r="AA5" s="43">
        <f t="shared" si="0"/>
        <v>46313</v>
      </c>
      <c r="AB5" s="44">
        <f>AA5+1</f>
        <v>46314</v>
      </c>
      <c r="AC5" s="42">
        <f>AB5+1</f>
        <v>46315</v>
      </c>
      <c r="AD5" s="42">
        <f t="shared" si="0"/>
        <v>46316</v>
      </c>
      <c r="AE5" s="42">
        <f t="shared" si="0"/>
        <v>46317</v>
      </c>
      <c r="AF5" s="42">
        <f t="shared" si="0"/>
        <v>46318</v>
      </c>
      <c r="AG5" s="42">
        <f t="shared" si="0"/>
        <v>46319</v>
      </c>
      <c r="AH5" s="43">
        <f t="shared" si="0"/>
        <v>46320</v>
      </c>
      <c r="AI5" s="44">
        <f>AH5+1</f>
        <v>46321</v>
      </c>
      <c r="AJ5" s="42">
        <f>AI5+1</f>
        <v>46322</v>
      </c>
      <c r="AK5" s="42">
        <f t="shared" si="0"/>
        <v>46323</v>
      </c>
      <c r="AL5" s="42">
        <f t="shared" si="0"/>
        <v>46324</v>
      </c>
      <c r="AM5" s="42">
        <f t="shared" si="0"/>
        <v>46325</v>
      </c>
      <c r="AN5" s="42">
        <f t="shared" si="0"/>
        <v>46326</v>
      </c>
      <c r="AO5" s="43">
        <f t="shared" si="0"/>
        <v>46327</v>
      </c>
      <c r="AP5" s="44">
        <f>AO5+1</f>
        <v>46328</v>
      </c>
      <c r="AQ5" s="42">
        <f>AP5+1</f>
        <v>46329</v>
      </c>
      <c r="AR5" s="42">
        <f t="shared" si="0"/>
        <v>46330</v>
      </c>
      <c r="AS5" s="42">
        <f t="shared" si="0"/>
        <v>46331</v>
      </c>
      <c r="AT5" s="42">
        <f t="shared" si="0"/>
        <v>46332</v>
      </c>
      <c r="AU5" s="42">
        <f t="shared" si="0"/>
        <v>46333</v>
      </c>
      <c r="AV5" s="43">
        <f t="shared" si="0"/>
        <v>46334</v>
      </c>
      <c r="AW5" s="44">
        <f>AV5+1</f>
        <v>46335</v>
      </c>
      <c r="AX5" s="42">
        <f>AW5+1</f>
        <v>46336</v>
      </c>
      <c r="AY5" s="42">
        <f t="shared" ref="AY5:BC5" si="1">AX5+1</f>
        <v>46337</v>
      </c>
      <c r="AZ5" s="42">
        <f t="shared" si="1"/>
        <v>46338</v>
      </c>
      <c r="BA5" s="42">
        <f t="shared" si="1"/>
        <v>46339</v>
      </c>
      <c r="BB5" s="42">
        <f t="shared" si="1"/>
        <v>46340</v>
      </c>
      <c r="BC5" s="43">
        <f t="shared" si="1"/>
        <v>46341</v>
      </c>
      <c r="BD5" s="44">
        <f>BC5+1</f>
        <v>46342</v>
      </c>
      <c r="BE5" s="42">
        <f>BD5+1</f>
        <v>46343</v>
      </c>
      <c r="BF5" s="42">
        <f t="shared" ref="BF5:BJ5" si="2">BE5+1</f>
        <v>46344</v>
      </c>
      <c r="BG5" s="42">
        <f t="shared" si="2"/>
        <v>46345</v>
      </c>
      <c r="BH5" s="42">
        <f t="shared" si="2"/>
        <v>46346</v>
      </c>
      <c r="BI5" s="42">
        <f t="shared" si="2"/>
        <v>46347</v>
      </c>
      <c r="BJ5" s="42">
        <f t="shared" si="2"/>
        <v>46348</v>
      </c>
    </row>
    <row r="6" spans="1:62" s="33" customFormat="1" ht="15" customHeight="1" thickBot="1" x14ac:dyDescent="0.35">
      <c r="A6" s="39"/>
      <c r="B6" s="45"/>
      <c r="C6" s="46"/>
      <c r="D6" s="46"/>
      <c r="G6" s="47" t="str">
        <f t="shared" ref="G6:AL6" si="3">LEFT(TEXT(G5,"ddd"),1)</f>
        <v>M</v>
      </c>
      <c r="H6" s="48" t="str">
        <f t="shared" si="3"/>
        <v>T</v>
      </c>
      <c r="I6" s="48" t="str">
        <f t="shared" si="3"/>
        <v>W</v>
      </c>
      <c r="J6" s="48" t="str">
        <f t="shared" si="3"/>
        <v>T</v>
      </c>
      <c r="K6" s="48" t="str">
        <f t="shared" si="3"/>
        <v>F</v>
      </c>
      <c r="L6" s="48" t="str">
        <f t="shared" si="3"/>
        <v>S</v>
      </c>
      <c r="M6" s="48" t="str">
        <f t="shared" si="3"/>
        <v>S</v>
      </c>
      <c r="N6" s="48" t="str">
        <f t="shared" si="3"/>
        <v>M</v>
      </c>
      <c r="O6" s="48" t="str">
        <f t="shared" si="3"/>
        <v>T</v>
      </c>
      <c r="P6" s="48" t="str">
        <f t="shared" si="3"/>
        <v>W</v>
      </c>
      <c r="Q6" s="48" t="str">
        <f t="shared" si="3"/>
        <v>T</v>
      </c>
      <c r="R6" s="48" t="str">
        <f t="shared" si="3"/>
        <v>F</v>
      </c>
      <c r="S6" s="48" t="str">
        <f t="shared" si="3"/>
        <v>S</v>
      </c>
      <c r="T6" s="48" t="str">
        <f t="shared" si="3"/>
        <v>S</v>
      </c>
      <c r="U6" s="48" t="str">
        <f t="shared" si="3"/>
        <v>M</v>
      </c>
      <c r="V6" s="48" t="str">
        <f t="shared" si="3"/>
        <v>T</v>
      </c>
      <c r="W6" s="48" t="str">
        <f t="shared" si="3"/>
        <v>W</v>
      </c>
      <c r="X6" s="48" t="str">
        <f t="shared" si="3"/>
        <v>T</v>
      </c>
      <c r="Y6" s="48" t="str">
        <f t="shared" si="3"/>
        <v>F</v>
      </c>
      <c r="Z6" s="48" t="str">
        <f t="shared" si="3"/>
        <v>S</v>
      </c>
      <c r="AA6" s="48" t="str">
        <f t="shared" si="3"/>
        <v>S</v>
      </c>
      <c r="AB6" s="48" t="str">
        <f t="shared" si="3"/>
        <v>M</v>
      </c>
      <c r="AC6" s="48" t="str">
        <f t="shared" si="3"/>
        <v>T</v>
      </c>
      <c r="AD6" s="48" t="str">
        <f t="shared" si="3"/>
        <v>W</v>
      </c>
      <c r="AE6" s="48" t="str">
        <f t="shared" si="3"/>
        <v>T</v>
      </c>
      <c r="AF6" s="48" t="str">
        <f t="shared" si="3"/>
        <v>F</v>
      </c>
      <c r="AG6" s="48" t="str">
        <f t="shared" si="3"/>
        <v>S</v>
      </c>
      <c r="AH6" s="48" t="str">
        <f t="shared" si="3"/>
        <v>S</v>
      </c>
      <c r="AI6" s="48" t="str">
        <f t="shared" si="3"/>
        <v>M</v>
      </c>
      <c r="AJ6" s="48" t="str">
        <f t="shared" si="3"/>
        <v>T</v>
      </c>
      <c r="AK6" s="48" t="str">
        <f t="shared" si="3"/>
        <v>W</v>
      </c>
      <c r="AL6" s="48" t="str">
        <f t="shared" si="3"/>
        <v>T</v>
      </c>
      <c r="AM6" s="48" t="str">
        <f t="shared" ref="AM6:BJ6" si="4">LEFT(TEXT(AM5,"ddd"),1)</f>
        <v>F</v>
      </c>
      <c r="AN6" s="48" t="str">
        <f t="shared" si="4"/>
        <v>S</v>
      </c>
      <c r="AO6" s="48" t="str">
        <f t="shared" si="4"/>
        <v>S</v>
      </c>
      <c r="AP6" s="48" t="str">
        <f t="shared" si="4"/>
        <v>M</v>
      </c>
      <c r="AQ6" s="48" t="str">
        <f t="shared" si="4"/>
        <v>T</v>
      </c>
      <c r="AR6" s="48" t="str">
        <f t="shared" si="4"/>
        <v>W</v>
      </c>
      <c r="AS6" s="48" t="str">
        <f t="shared" si="4"/>
        <v>T</v>
      </c>
      <c r="AT6" s="48" t="str">
        <f t="shared" si="4"/>
        <v>F</v>
      </c>
      <c r="AU6" s="48" t="str">
        <f t="shared" si="4"/>
        <v>S</v>
      </c>
      <c r="AV6" s="48" t="str">
        <f t="shared" si="4"/>
        <v>S</v>
      </c>
      <c r="AW6" s="48" t="str">
        <f t="shared" si="4"/>
        <v>M</v>
      </c>
      <c r="AX6" s="48" t="str">
        <f t="shared" si="4"/>
        <v>T</v>
      </c>
      <c r="AY6" s="48" t="str">
        <f t="shared" si="4"/>
        <v>W</v>
      </c>
      <c r="AZ6" s="48" t="str">
        <f t="shared" si="4"/>
        <v>T</v>
      </c>
      <c r="BA6" s="48" t="str">
        <f t="shared" si="4"/>
        <v>F</v>
      </c>
      <c r="BB6" s="48" t="str">
        <f t="shared" si="4"/>
        <v>S</v>
      </c>
      <c r="BC6" s="48" t="str">
        <f t="shared" si="4"/>
        <v>S</v>
      </c>
      <c r="BD6" s="48" t="str">
        <f t="shared" si="4"/>
        <v>M</v>
      </c>
      <c r="BE6" s="48" t="str">
        <f t="shared" si="4"/>
        <v>T</v>
      </c>
      <c r="BF6" s="48" t="str">
        <f t="shared" si="4"/>
        <v>W</v>
      </c>
      <c r="BG6" s="48" t="str">
        <f t="shared" si="4"/>
        <v>T</v>
      </c>
      <c r="BH6" s="48" t="str">
        <f t="shared" si="4"/>
        <v>F</v>
      </c>
      <c r="BI6" s="48" t="str">
        <f t="shared" si="4"/>
        <v>S</v>
      </c>
      <c r="BJ6" s="49" t="str">
        <f t="shared" si="4"/>
        <v>S</v>
      </c>
    </row>
    <row r="7" spans="1:62" s="33" customFormat="1" ht="30" hidden="1" customHeight="1" thickBot="1" x14ac:dyDescent="0.35">
      <c r="A7" s="26" t="s">
        <v>18</v>
      </c>
      <c r="B7" s="50"/>
      <c r="C7" s="50"/>
      <c r="D7" s="50"/>
      <c r="F7" s="33" t="str">
        <f>IF(OR(ISBLANK(task_start),ISBLANK(task_end)),"",task_end-task_start+1)</f>
        <v/>
      </c>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row>
    <row r="8" spans="1:62" s="58" customFormat="1" ht="30" customHeight="1" thickBot="1" x14ac:dyDescent="0.35">
      <c r="A8" s="15"/>
      <c r="B8" s="52" t="s">
        <v>19</v>
      </c>
      <c r="C8" s="53"/>
      <c r="D8" s="54"/>
      <c r="E8" s="55"/>
      <c r="F8" s="56" t="str">
        <f t="shared" ref="F8:F30" si="5">IF(OR(ISBLANK(task_start),ISBLANK(task_end)),"",task_end-task_start+1)</f>
        <v/>
      </c>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row>
    <row r="9" spans="1:62" s="58" customFormat="1" ht="30" customHeight="1" thickBot="1" x14ac:dyDescent="0.35">
      <c r="A9" s="15"/>
      <c r="B9" s="59" t="s">
        <v>37</v>
      </c>
      <c r="C9" s="60">
        <f>Project_Start</f>
        <v>46293</v>
      </c>
      <c r="D9" s="60">
        <f>C9+7</f>
        <v>46300</v>
      </c>
      <c r="E9" s="55"/>
      <c r="F9" s="56">
        <f t="shared" si="5"/>
        <v>8</v>
      </c>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row>
    <row r="10" spans="1:62" s="58" customFormat="1" ht="30" customHeight="1" thickBot="1" x14ac:dyDescent="0.35">
      <c r="A10" s="15"/>
      <c r="B10" s="62" t="s">
        <v>36</v>
      </c>
      <c r="C10" s="63">
        <f>D9</f>
        <v>46300</v>
      </c>
      <c r="D10" s="63">
        <f>C10+4</f>
        <v>46304</v>
      </c>
      <c r="E10" s="55"/>
      <c r="F10" s="56">
        <f t="shared" si="5"/>
        <v>5</v>
      </c>
      <c r="G10" s="61"/>
      <c r="H10" s="61"/>
      <c r="I10" s="61"/>
      <c r="J10" s="61"/>
      <c r="K10" s="61"/>
      <c r="L10" s="61"/>
      <c r="M10" s="61"/>
      <c r="N10" s="61"/>
      <c r="O10" s="61"/>
      <c r="P10" s="61"/>
      <c r="Q10" s="61"/>
      <c r="R10" s="61"/>
      <c r="S10" s="64"/>
      <c r="T10" s="64"/>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row>
    <row r="11" spans="1:62" s="58" customFormat="1" ht="30" customHeight="1" thickBot="1" x14ac:dyDescent="0.35">
      <c r="A11" s="26"/>
      <c r="B11" s="62" t="s">
        <v>35</v>
      </c>
      <c r="C11" s="63">
        <f>D10</f>
        <v>46304</v>
      </c>
      <c r="D11" s="63">
        <f>C11+3</f>
        <v>46307</v>
      </c>
      <c r="E11" s="55"/>
      <c r="F11" s="56">
        <f t="shared" si="5"/>
        <v>4</v>
      </c>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row>
    <row r="12" spans="1:62" s="58" customFormat="1" ht="30" customHeight="1" thickBot="1" x14ac:dyDescent="0.35">
      <c r="A12" s="26"/>
      <c r="B12" s="62" t="s">
        <v>38</v>
      </c>
      <c r="C12" s="63">
        <f>D11</f>
        <v>46307</v>
      </c>
      <c r="D12" s="63">
        <f>C12+13</f>
        <v>46320</v>
      </c>
      <c r="E12" s="55"/>
      <c r="F12" s="56">
        <f t="shared" si="5"/>
        <v>14</v>
      </c>
      <c r="G12" s="61"/>
      <c r="H12" s="61"/>
      <c r="I12" s="61"/>
      <c r="J12" s="61"/>
      <c r="K12" s="61"/>
      <c r="L12" s="61"/>
      <c r="M12" s="61"/>
      <c r="N12" s="61"/>
      <c r="O12" s="61"/>
      <c r="P12" s="61"/>
      <c r="Q12" s="61"/>
      <c r="R12" s="61"/>
      <c r="S12" s="61"/>
      <c r="T12" s="61"/>
      <c r="U12" s="61"/>
      <c r="V12" s="61"/>
      <c r="W12" s="64"/>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row>
    <row r="13" spans="1:62" s="58" customFormat="1" ht="30" customHeight="1" thickBot="1" x14ac:dyDescent="0.35">
      <c r="A13" s="15"/>
      <c r="B13" s="65" t="s">
        <v>20</v>
      </c>
      <c r="C13" s="66"/>
      <c r="D13" s="67"/>
      <c r="E13" s="55"/>
      <c r="F13" s="56" t="str">
        <f t="shared" si="5"/>
        <v/>
      </c>
    </row>
    <row r="14" spans="1:62" s="58" customFormat="1" ht="30" customHeight="1" thickBot="1" x14ac:dyDescent="0.35">
      <c r="A14" s="15"/>
      <c r="B14" s="68" t="s">
        <v>39</v>
      </c>
      <c r="C14" s="69">
        <f>D12</f>
        <v>46320</v>
      </c>
      <c r="D14" s="69">
        <f>C14+30</f>
        <v>46350</v>
      </c>
      <c r="E14" s="55"/>
      <c r="F14" s="56">
        <f t="shared" si="5"/>
        <v>31</v>
      </c>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row>
    <row r="15" spans="1:62" s="58" customFormat="1" ht="30" customHeight="1" thickBot="1" x14ac:dyDescent="0.35">
      <c r="A15" s="26"/>
      <c r="B15" s="68" t="s">
        <v>40</v>
      </c>
      <c r="C15" s="69">
        <f>D14</f>
        <v>46350</v>
      </c>
      <c r="D15" s="69">
        <f>C15+30</f>
        <v>46380</v>
      </c>
      <c r="E15" s="55"/>
      <c r="F15" s="56">
        <f t="shared" si="5"/>
        <v>31</v>
      </c>
      <c r="G15" s="61"/>
      <c r="H15" s="61"/>
      <c r="I15" s="61"/>
      <c r="J15" s="61"/>
      <c r="K15" s="61"/>
      <c r="L15" s="61"/>
      <c r="M15" s="61"/>
      <c r="N15" s="61"/>
      <c r="O15" s="61"/>
      <c r="P15" s="61"/>
      <c r="Q15" s="61"/>
      <c r="R15" s="61"/>
      <c r="S15" s="64"/>
      <c r="T15" s="64"/>
      <c r="U15" s="61"/>
      <c r="V15" s="61"/>
      <c r="W15" s="61"/>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c r="BC15" s="61"/>
      <c r="BD15" s="61"/>
      <c r="BE15" s="61"/>
      <c r="BF15" s="61"/>
      <c r="BG15" s="61"/>
      <c r="BH15" s="61"/>
      <c r="BI15" s="61"/>
      <c r="BJ15" s="61"/>
    </row>
    <row r="16" spans="1:62" s="58" customFormat="1" ht="30" customHeight="1" thickBot="1" x14ac:dyDescent="0.35">
      <c r="A16" s="26"/>
      <c r="B16" s="68" t="s">
        <v>41</v>
      </c>
      <c r="C16" s="69">
        <f t="shared" ref="C16" si="6">D15</f>
        <v>46380</v>
      </c>
      <c r="D16" s="69">
        <f>C16+30</f>
        <v>46410</v>
      </c>
      <c r="E16" s="55"/>
      <c r="F16" s="56">
        <f t="shared" si="5"/>
        <v>31</v>
      </c>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row>
    <row r="17" spans="1:62" s="58" customFormat="1" ht="30" customHeight="1" thickBot="1" x14ac:dyDescent="0.35">
      <c r="A17" s="26"/>
      <c r="B17" s="70" t="s">
        <v>21</v>
      </c>
      <c r="C17" s="71"/>
      <c r="D17" s="72"/>
      <c r="E17" s="55"/>
      <c r="F17" s="56" t="str">
        <f t="shared" si="5"/>
        <v/>
      </c>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row>
    <row r="18" spans="1:62" s="58" customFormat="1" ht="30" customHeight="1" thickBot="1" x14ac:dyDescent="0.35">
      <c r="A18" s="26"/>
      <c r="B18" s="74" t="s">
        <v>22</v>
      </c>
      <c r="C18" s="75">
        <f>C9+15</f>
        <v>46308</v>
      </c>
      <c r="D18" s="75">
        <f>C18+5</f>
        <v>46313</v>
      </c>
      <c r="E18" s="55"/>
      <c r="F18" s="56">
        <f t="shared" si="5"/>
        <v>6</v>
      </c>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row>
    <row r="19" spans="1:62" s="58" customFormat="1" ht="30" customHeight="1" thickBot="1" x14ac:dyDescent="0.35">
      <c r="A19" s="26"/>
      <c r="B19" s="74" t="s">
        <v>23</v>
      </c>
      <c r="C19" s="75">
        <f>D18+1</f>
        <v>46314</v>
      </c>
      <c r="D19" s="75">
        <f>C19+4</f>
        <v>46318</v>
      </c>
      <c r="E19" s="55"/>
      <c r="F19" s="56">
        <f t="shared" si="5"/>
        <v>5</v>
      </c>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row>
    <row r="20" spans="1:62" s="58" customFormat="1" ht="30" customHeight="1" thickBot="1" x14ac:dyDescent="0.35">
      <c r="A20" s="26"/>
      <c r="B20" s="74" t="s">
        <v>24</v>
      </c>
      <c r="C20" s="75">
        <f>C19+5</f>
        <v>46319</v>
      </c>
      <c r="D20" s="75">
        <f>C20+5</f>
        <v>46324</v>
      </c>
      <c r="E20" s="55"/>
      <c r="F20" s="56">
        <f t="shared" si="5"/>
        <v>6</v>
      </c>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row>
    <row r="21" spans="1:62" s="58" customFormat="1" ht="30" customHeight="1" thickBot="1" x14ac:dyDescent="0.35">
      <c r="A21" s="26"/>
      <c r="B21" s="74" t="s">
        <v>25</v>
      </c>
      <c r="C21" s="75">
        <f>D20+1</f>
        <v>46325</v>
      </c>
      <c r="D21" s="75">
        <f>C21+4</f>
        <v>46329</v>
      </c>
      <c r="E21" s="55"/>
      <c r="F21" s="56">
        <f t="shared" si="5"/>
        <v>5</v>
      </c>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c r="BC21" s="61"/>
      <c r="BD21" s="61"/>
      <c r="BE21" s="61"/>
      <c r="BF21" s="61"/>
      <c r="BG21" s="61"/>
      <c r="BH21" s="61"/>
      <c r="BI21" s="61"/>
      <c r="BJ21" s="61"/>
    </row>
    <row r="22" spans="1:62" s="58" customFormat="1" ht="30" customHeight="1" thickBot="1" x14ac:dyDescent="0.35">
      <c r="A22" s="26"/>
      <c r="B22" s="74" t="s">
        <v>26</v>
      </c>
      <c r="C22" s="75">
        <f>C20</f>
        <v>46319</v>
      </c>
      <c r="D22" s="75">
        <f>C22+4</f>
        <v>46323</v>
      </c>
      <c r="E22" s="55"/>
      <c r="F22" s="56">
        <f t="shared" si="5"/>
        <v>5</v>
      </c>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1"/>
      <c r="BE22" s="61"/>
      <c r="BF22" s="61"/>
      <c r="BG22" s="61"/>
      <c r="BH22" s="61"/>
      <c r="BI22" s="61"/>
      <c r="BJ22" s="61"/>
    </row>
    <row r="23" spans="1:62" s="58" customFormat="1" ht="30" customHeight="1" thickBot="1" x14ac:dyDescent="0.35">
      <c r="A23" s="26"/>
      <c r="B23" s="76" t="s">
        <v>33</v>
      </c>
      <c r="C23" s="77"/>
      <c r="D23" s="78"/>
      <c r="E23" s="55"/>
      <c r="F23" s="56" t="str">
        <f t="shared" si="5"/>
        <v/>
      </c>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row>
    <row r="24" spans="1:62" s="58" customFormat="1" ht="30" customHeight="1" thickBot="1" x14ac:dyDescent="0.35">
      <c r="A24" s="26"/>
      <c r="B24" s="80" t="s">
        <v>23</v>
      </c>
      <c r="C24" s="81">
        <f>C18+2</f>
        <v>46310</v>
      </c>
      <c r="D24" s="81">
        <f>C24+3</f>
        <v>46313</v>
      </c>
      <c r="E24" s="55"/>
      <c r="F24" s="56">
        <f t="shared" si="5"/>
        <v>4</v>
      </c>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row>
    <row r="25" spans="1:62" s="58" customFormat="1" ht="30" customHeight="1" thickBot="1" x14ac:dyDescent="0.35">
      <c r="A25" s="26"/>
      <c r="B25" s="80" t="s">
        <v>27</v>
      </c>
      <c r="C25" s="81">
        <f>D24</f>
        <v>46313</v>
      </c>
      <c r="D25" s="81">
        <f>C25+4</f>
        <v>46317</v>
      </c>
      <c r="E25" s="55"/>
      <c r="F25" s="56">
        <f t="shared" si="5"/>
        <v>5</v>
      </c>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row>
    <row r="26" spans="1:62" s="58" customFormat="1" ht="30" customHeight="1" thickBot="1" x14ac:dyDescent="0.35">
      <c r="A26" s="26"/>
      <c r="B26" s="80" t="s">
        <v>28</v>
      </c>
      <c r="C26" s="81">
        <f>D25+1</f>
        <v>46318</v>
      </c>
      <c r="D26" s="81">
        <f>C26+3</f>
        <v>46321</v>
      </c>
      <c r="E26" s="55"/>
      <c r="F26" s="56">
        <f t="shared" si="5"/>
        <v>4</v>
      </c>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row>
    <row r="27" spans="1:62" s="58" customFormat="1" ht="30" customHeight="1" thickBot="1" x14ac:dyDescent="0.35">
      <c r="A27" s="26"/>
      <c r="B27" s="80" t="s">
        <v>29</v>
      </c>
      <c r="C27" s="81">
        <f>C24+5</f>
        <v>46315</v>
      </c>
      <c r="D27" s="81">
        <f>C27+3</f>
        <v>46318</v>
      </c>
      <c r="E27" s="55"/>
      <c r="F27" s="56">
        <f t="shared" si="5"/>
        <v>4</v>
      </c>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row>
    <row r="28" spans="1:62" s="58" customFormat="1" ht="30" customHeight="1" thickBot="1" x14ac:dyDescent="0.35">
      <c r="A28" s="26"/>
      <c r="B28" s="80" t="s">
        <v>30</v>
      </c>
      <c r="C28" s="81">
        <f>C24+7</f>
        <v>46317</v>
      </c>
      <c r="D28" s="81">
        <f>C28+5</f>
        <v>46322</v>
      </c>
      <c r="E28" s="55"/>
      <c r="F28" s="56">
        <f t="shared" si="5"/>
        <v>6</v>
      </c>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row>
    <row r="29" spans="1:62" s="58" customFormat="1" ht="30" customHeight="1" thickBot="1" x14ac:dyDescent="0.35">
      <c r="A29" s="26"/>
      <c r="B29" s="82"/>
      <c r="C29" s="83"/>
      <c r="D29" s="83"/>
      <c r="E29" s="55"/>
      <c r="F29" s="56" t="str">
        <f t="shared" si="5"/>
        <v/>
      </c>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row>
    <row r="30" spans="1:62" s="58" customFormat="1" ht="30" customHeight="1" thickBot="1" x14ac:dyDescent="0.35">
      <c r="A30" s="15"/>
      <c r="B30" s="84" t="s">
        <v>0</v>
      </c>
      <c r="C30" s="85"/>
      <c r="D30" s="86"/>
      <c r="E30" s="55"/>
      <c r="F30" s="87" t="str">
        <f t="shared" si="5"/>
        <v/>
      </c>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row>
    <row r="31" spans="1:62" ht="30" customHeight="1" x14ac:dyDescent="0.3">
      <c r="E31" s="90"/>
    </row>
    <row r="32" spans="1:62" ht="30" customHeight="1" x14ac:dyDescent="0.3">
      <c r="D32" s="91"/>
    </row>
  </sheetData>
  <mergeCells count="16">
    <mergeCell ref="BD4:BJ4"/>
    <mergeCell ref="G4:M4"/>
    <mergeCell ref="N4:T4"/>
    <mergeCell ref="U4:AA4"/>
    <mergeCell ref="AB4:AH4"/>
    <mergeCell ref="AI4:AO4"/>
    <mergeCell ref="AP4:AV4"/>
    <mergeCell ref="AW4:BC4"/>
    <mergeCell ref="D5:D6"/>
    <mergeCell ref="O2:X2"/>
    <mergeCell ref="O1:X1"/>
    <mergeCell ref="G1:M1"/>
    <mergeCell ref="G2:M2"/>
    <mergeCell ref="A5:A6"/>
    <mergeCell ref="B5:B6"/>
    <mergeCell ref="C5:C6"/>
  </mergeCells>
  <conditionalFormatting sqref="G4:BJ28">
    <cfRule type="expression" dxfId="8" priority="1">
      <formula>AND(TODAY()&gt;=G$5, TODAY()&lt;H$5)</formula>
    </cfRule>
  </conditionalFormatting>
  <conditionalFormatting sqref="G9:BJ12">
    <cfRule type="expression" dxfId="7" priority="6">
      <formula>AND(task_start&lt;=G$5,ROUNDDOWN((task_end-task_start+1)*task_progress,0)+task_start-1&gt;=G$5)</formula>
    </cfRule>
    <cfRule type="expression" dxfId="6" priority="7" stopIfTrue="1">
      <formula>AND(task_end&gt;=G$5,task_start&lt;H$5)</formula>
    </cfRule>
  </conditionalFormatting>
  <conditionalFormatting sqref="G14:BJ16">
    <cfRule type="expression" dxfId="5" priority="4">
      <formula>AND(task_start&lt;=G$5,ROUNDDOWN((task_end-task_start+1)*task_progress,0)+task_start-1&gt;=G$5)</formula>
    </cfRule>
    <cfRule type="expression" dxfId="4" priority="5" stopIfTrue="1">
      <formula>AND(task_end&gt;=G$5,task_start&lt;H$5)</formula>
    </cfRule>
  </conditionalFormatting>
  <conditionalFormatting sqref="G18:BJ22">
    <cfRule type="expression" dxfId="3" priority="2">
      <formula>AND(task_start&lt;=G$5,ROUNDDOWN((task_end-task_start+1)*task_progress,0)+task_start-1&gt;=G$5)</formula>
    </cfRule>
    <cfRule type="expression" dxfId="2" priority="3" stopIfTrue="1">
      <formula>AND(task_end&gt;=G$5,task_start&lt;H$5)</formula>
    </cfRule>
  </conditionalFormatting>
  <conditionalFormatting sqref="G24:BJ28">
    <cfRule type="expression" dxfId="1" priority="36">
      <formula>AND(task_start&lt;=G$5,ROUNDDOWN((task_end-task_start+1)*task_progress,0)+task_start-1&gt;=G$5)</formula>
    </cfRule>
    <cfRule type="expression" dxfId="0" priority="37" stopIfTrue="1">
      <formula>AND(task_end&gt;=G$5,task_start&lt;H$5)</formula>
    </cfRule>
  </conditionalFormatting>
  <dataValidations count="13">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D19:D20 C20 D2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2" customWidth="1"/>
    <col min="2" max="16384" width="9" style="1"/>
  </cols>
  <sheetData>
    <row r="1" spans="1:2" ht="46.5" customHeight="1" x14ac:dyDescent="0.25"/>
    <row r="2" spans="1:2" s="4" customFormat="1" ht="15.5" x14ac:dyDescent="0.3">
      <c r="A2" s="8" t="s">
        <v>7</v>
      </c>
      <c r="B2" s="3"/>
    </row>
    <row r="3" spans="1:2" s="6" customFormat="1" ht="27" customHeight="1" x14ac:dyDescent="0.3">
      <c r="A3" s="9"/>
      <c r="B3" s="7"/>
    </row>
    <row r="4" spans="1:2" s="5" customFormat="1" ht="30.5" x14ac:dyDescent="0.85">
      <c r="A4" s="10" t="s">
        <v>6</v>
      </c>
    </row>
    <row r="5" spans="1:2" ht="74.25" customHeight="1" x14ac:dyDescent="0.25">
      <c r="A5" s="11" t="s">
        <v>14</v>
      </c>
    </row>
    <row r="6" spans="1:2" ht="26.25" customHeight="1" x14ac:dyDescent="0.25">
      <c r="A6" s="10" t="s">
        <v>17</v>
      </c>
    </row>
    <row r="7" spans="1:2" s="2" customFormat="1" ht="205" customHeight="1" x14ac:dyDescent="0.3">
      <c r="A7" s="12" t="s">
        <v>16</v>
      </c>
    </row>
    <row r="8" spans="1:2" s="5" customFormat="1" ht="30.5" x14ac:dyDescent="0.85">
      <c r="A8" s="10" t="s">
        <v>8</v>
      </c>
    </row>
    <row r="9" spans="1:2" ht="42" x14ac:dyDescent="0.25">
      <c r="A9" s="11" t="s">
        <v>15</v>
      </c>
    </row>
    <row r="10" spans="1:2" s="2" customFormat="1" ht="28" customHeight="1" x14ac:dyDescent="0.3">
      <c r="A10" s="13" t="s">
        <v>13</v>
      </c>
    </row>
    <row r="11" spans="1:2" s="5" customFormat="1" ht="30.5" x14ac:dyDescent="0.85">
      <c r="A11" s="10" t="s">
        <v>5</v>
      </c>
    </row>
    <row r="12" spans="1:2" ht="28" x14ac:dyDescent="0.25">
      <c r="A12" s="11" t="s">
        <v>12</v>
      </c>
    </row>
    <row r="13" spans="1:2" s="2" customFormat="1" ht="28" customHeight="1" x14ac:dyDescent="0.3">
      <c r="A13" s="13" t="s">
        <v>1</v>
      </c>
    </row>
    <row r="14" spans="1:2" s="5" customFormat="1" ht="30.5" x14ac:dyDescent="0.85">
      <c r="A14" s="10" t="s">
        <v>9</v>
      </c>
    </row>
    <row r="15" spans="1:2" ht="75" customHeight="1" x14ac:dyDescent="0.25">
      <c r="A15" s="11" t="s">
        <v>10</v>
      </c>
    </row>
    <row r="16" spans="1:2" ht="70" x14ac:dyDescent="0.25">
      <c r="A16" s="11" t="s">
        <v>11</v>
      </c>
    </row>
    <row r="17" spans="1:1" x14ac:dyDescent="0.25">
      <c r="A17" s="14"/>
    </row>
    <row r="18" spans="1:1" x14ac:dyDescent="0.25">
      <c r="A18" s="14"/>
    </row>
    <row r="19" spans="1:1" x14ac:dyDescent="0.25">
      <c r="A19" s="14"/>
    </row>
    <row r="20" spans="1:1" x14ac:dyDescent="0.25">
      <c r="A20" s="14"/>
    </row>
    <row r="21" spans="1:1" x14ac:dyDescent="0.25">
      <c r="A21" s="14"/>
    </row>
    <row r="22" spans="1:1" x14ac:dyDescent="0.25">
      <c r="A22" s="14"/>
    </row>
    <row r="23" spans="1:1" x14ac:dyDescent="0.25">
      <c r="A23" s="14"/>
    </row>
    <row r="24" spans="1:1" x14ac:dyDescent="0.25">
      <c r="A24" s="1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Mariana Garcia</dc:creator>
  <dc:description/>
  <cp:lastModifiedBy>Mariana Garcia</cp:lastModifiedBy>
  <dcterms:created xsi:type="dcterms:W3CDTF">2022-03-11T22:41:12Z</dcterms:created>
  <dcterms:modified xsi:type="dcterms:W3CDTF">2026-10-11T20:48:21Z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